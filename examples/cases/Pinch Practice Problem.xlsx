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h7\Documents\GitHub\OpenPinch---Heat-Exchanger-Network-Synthesis\cases\"/>
    </mc:Choice>
  </mc:AlternateContent>
  <xr:revisionPtr revIDLastSave="0" documentId="13_ncr:1_{DF1D0087-146D-4840-9908-6D02AE6FDA8F}" xr6:coauthVersionLast="36" xr6:coauthVersionMax="36" xr10:uidLastSave="{00000000-0000-0000-0000-000000000000}"/>
  <bookViews>
    <workbookView xWindow="0" yWindow="0" windowWidth="28800" windowHeight="11625" xr2:uid="{A3DDCEF7-9AD8-478B-AD4D-7B6079640B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1" l="1"/>
  <c r="D27" i="1" l="1"/>
  <c r="N10" i="1"/>
  <c r="N11" i="1"/>
  <c r="N12" i="1"/>
  <c r="N13" i="1"/>
  <c r="N14" i="1"/>
  <c r="N9" i="1"/>
  <c r="N5" i="1"/>
  <c r="N6" i="1"/>
  <c r="N7" i="1"/>
  <c r="N8" i="1"/>
  <c r="N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L4" i="1"/>
  <c r="K4" i="1"/>
</calcChain>
</file>

<file path=xl/sharedStrings.xml><?xml version="1.0" encoding="utf-8"?>
<sst xmlns="http://schemas.openxmlformats.org/spreadsheetml/2006/main" count="84" uniqueCount="35">
  <si>
    <t>C</t>
  </si>
  <si>
    <t>Hot</t>
  </si>
  <si>
    <t>E1</t>
  </si>
  <si>
    <t>E2</t>
  </si>
  <si>
    <t>G</t>
  </si>
  <si>
    <t>H</t>
  </si>
  <si>
    <t>A</t>
  </si>
  <si>
    <t>Cold</t>
  </si>
  <si>
    <t>B</t>
  </si>
  <si>
    <t>D</t>
  </si>
  <si>
    <t>F</t>
  </si>
  <si>
    <t>I</t>
  </si>
  <si>
    <t>DSI</t>
  </si>
  <si>
    <t>Supply Temp</t>
  </si>
  <si>
    <t>Target Temp</t>
  </si>
  <si>
    <t>Flow heat capacity</t>
  </si>
  <si>
    <t>T_in</t>
  </si>
  <si>
    <t>T_out</t>
  </si>
  <si>
    <t>f</t>
  </si>
  <si>
    <t>K</t>
  </si>
  <si>
    <t>kW/K</t>
  </si>
  <si>
    <t>Designation</t>
  </si>
  <si>
    <t>Subsystem</t>
  </si>
  <si>
    <t>oC</t>
  </si>
  <si>
    <t>dH</t>
  </si>
  <si>
    <t>Heat duty</t>
  </si>
  <si>
    <t>kW</t>
  </si>
  <si>
    <t>No recovery</t>
  </si>
  <si>
    <t>dTmin (oC)</t>
  </si>
  <si>
    <t>5 oC</t>
  </si>
  <si>
    <t>10 oC</t>
  </si>
  <si>
    <t>Cold utility required</t>
  </si>
  <si>
    <t>Hot utility required</t>
  </si>
  <si>
    <t>Target</t>
  </si>
  <si>
    <t>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</si>
</sst>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9" fontId="0" fillId="0" borderId="0" xfId="2" applyFont="1"/>
    <xf numFmtId="0" fontId="0" fillId="0" borderId="0" xfId="0" applyAlignme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49EA-E9EA-4E0D-AEA0-233152787D98}">
  <dimension ref="B1:N27"/>
  <sheetViews>
    <sheetView tabSelected="1" workbookViewId="0">
      <selection activeCell="G31" sqref="G31"/>
    </sheetView>
  </sheetViews>
  <sheetFormatPr defaultRowHeight="15" x14ac:dyDescent="0.25"/>
  <cols>
    <col min="2" max="2" width="10.5703125" bestFit="1" customWidth="1"/>
    <col min="3" max="3" width="19.140625" bestFit="1" customWidth="1"/>
    <col min="4" max="4" width="12.42578125" bestFit="1" customWidth="1"/>
    <col min="5" max="5" width="14" bestFit="1" customWidth="1"/>
    <col min="6" max="6" width="17.5703125" bestFit="1" customWidth="1"/>
    <col min="7" max="8" width="14" bestFit="1" customWidth="1"/>
    <col min="9" max="9" width="10.5703125" bestFit="1" customWidth="1"/>
    <col min="10" max="10" width="11.5703125" bestFit="1" customWidth="1"/>
    <col min="11" max="11" width="12.42578125" bestFit="1" customWidth="1"/>
    <col min="12" max="12" width="12" bestFit="1" customWidth="1"/>
    <col min="13" max="13" width="17.5703125" bestFit="1" customWidth="1"/>
    <col min="16" max="16" width="15.42578125" bestFit="1" customWidth="1"/>
    <col min="17" max="17" width="11.7109375" bestFit="1" customWidth="1"/>
    <col min="18" max="18" width="14" bestFit="1" customWidth="1"/>
  </cols>
  <sheetData>
    <row r="1" spans="2:14" x14ac:dyDescent="0.25">
      <c r="B1" t="s">
        <v>22</v>
      </c>
      <c r="C1" t="s">
        <v>21</v>
      </c>
      <c r="D1" t="s">
        <v>13</v>
      </c>
      <c r="E1" t="s">
        <v>14</v>
      </c>
      <c r="F1" t="s">
        <v>15</v>
      </c>
      <c r="I1" t="s">
        <v>22</v>
      </c>
      <c r="J1" t="s">
        <v>21</v>
      </c>
      <c r="K1" t="s">
        <v>13</v>
      </c>
      <c r="L1" t="s">
        <v>14</v>
      </c>
      <c r="M1" t="s">
        <v>15</v>
      </c>
      <c r="N1" t="s">
        <v>25</v>
      </c>
    </row>
    <row r="2" spans="2:14" x14ac:dyDescent="0.25">
      <c r="D2" t="s">
        <v>16</v>
      </c>
      <c r="E2" t="s">
        <v>17</v>
      </c>
      <c r="F2" t="s">
        <v>18</v>
      </c>
      <c r="K2" t="s">
        <v>16</v>
      </c>
      <c r="L2" t="s">
        <v>17</v>
      </c>
      <c r="M2" t="s">
        <v>18</v>
      </c>
      <c r="N2" t="s">
        <v>24</v>
      </c>
    </row>
    <row r="3" spans="2:14" x14ac:dyDescent="0.25">
      <c r="D3" t="s">
        <v>19</v>
      </c>
      <c r="E3" t="s">
        <v>19</v>
      </c>
      <c r="F3" t="s">
        <v>20</v>
      </c>
      <c r="K3" t="s">
        <v>23</v>
      </c>
      <c r="L3" t="s">
        <v>23</v>
      </c>
      <c r="M3" t="s">
        <v>20</v>
      </c>
      <c r="N3" t="s">
        <v>26</v>
      </c>
    </row>
    <row r="4" spans="2:14" x14ac:dyDescent="0.25">
      <c r="B4" t="s">
        <v>0</v>
      </c>
      <c r="C4" t="s">
        <v>1</v>
      </c>
      <c r="D4">
        <v>328.15</v>
      </c>
      <c r="E4">
        <v>293.14999999999998</v>
      </c>
      <c r="F4">
        <v>40</v>
      </c>
      <c r="I4" t="s">
        <v>0</v>
      </c>
      <c r="J4" t="s">
        <v>1</v>
      </c>
      <c r="K4">
        <f>D4-273.15</f>
        <v>55</v>
      </c>
      <c r="L4">
        <f>E4-273.15</f>
        <v>20</v>
      </c>
      <c r="M4">
        <v>40</v>
      </c>
      <c r="N4">
        <f>(K4-L4)*M4</f>
        <v>1400</v>
      </c>
    </row>
    <row r="5" spans="2:14" x14ac:dyDescent="0.25">
      <c r="B5" t="s">
        <v>2</v>
      </c>
      <c r="C5" t="s">
        <v>1</v>
      </c>
      <c r="D5">
        <v>328.15</v>
      </c>
      <c r="E5">
        <v>293.14999999999998</v>
      </c>
      <c r="F5">
        <v>15</v>
      </c>
      <c r="I5" t="s">
        <v>2</v>
      </c>
      <c r="J5" t="s">
        <v>1</v>
      </c>
      <c r="K5">
        <f t="shared" ref="K5:K14" si="0">D5-273.15</f>
        <v>55</v>
      </c>
      <c r="L5">
        <f t="shared" ref="L5:L14" si="1">E5-273.15</f>
        <v>20</v>
      </c>
      <c r="M5">
        <v>15</v>
      </c>
      <c r="N5">
        <f t="shared" ref="N5:N8" si="2">(K5-L5)*M5</f>
        <v>525</v>
      </c>
    </row>
    <row r="6" spans="2:14" x14ac:dyDescent="0.25">
      <c r="B6" t="s">
        <v>3</v>
      </c>
      <c r="C6" t="s">
        <v>1</v>
      </c>
      <c r="D6">
        <v>313.14999999999998</v>
      </c>
      <c r="E6">
        <v>312.14999999999998</v>
      </c>
      <c r="F6">
        <v>1250</v>
      </c>
      <c r="I6" t="s">
        <v>3</v>
      </c>
      <c r="J6" t="s">
        <v>1</v>
      </c>
      <c r="K6">
        <f t="shared" si="0"/>
        <v>40</v>
      </c>
      <c r="L6">
        <f t="shared" si="1"/>
        <v>39</v>
      </c>
      <c r="M6">
        <v>1250</v>
      </c>
      <c r="N6">
        <f t="shared" si="2"/>
        <v>1250</v>
      </c>
    </row>
    <row r="7" spans="2:14" x14ac:dyDescent="0.25">
      <c r="B7" t="s">
        <v>4</v>
      </c>
      <c r="C7" t="s">
        <v>1</v>
      </c>
      <c r="D7">
        <v>413.15</v>
      </c>
      <c r="E7">
        <v>338.15</v>
      </c>
      <c r="F7">
        <v>25</v>
      </c>
      <c r="I7" t="s">
        <v>4</v>
      </c>
      <c r="J7" t="s">
        <v>1</v>
      </c>
      <c r="K7">
        <f t="shared" si="0"/>
        <v>140</v>
      </c>
      <c r="L7">
        <f t="shared" si="1"/>
        <v>65</v>
      </c>
      <c r="M7">
        <v>25</v>
      </c>
      <c r="N7">
        <f t="shared" si="2"/>
        <v>1875</v>
      </c>
    </row>
    <row r="8" spans="2:14" x14ac:dyDescent="0.25">
      <c r="B8" t="s">
        <v>5</v>
      </c>
      <c r="C8" t="s">
        <v>1</v>
      </c>
      <c r="D8">
        <v>343.15</v>
      </c>
      <c r="E8">
        <v>283.14999999999998</v>
      </c>
      <c r="F8">
        <v>150</v>
      </c>
      <c r="I8" t="s">
        <v>5</v>
      </c>
      <c r="J8" t="s">
        <v>1</v>
      </c>
      <c r="K8">
        <f t="shared" si="0"/>
        <v>70</v>
      </c>
      <c r="L8">
        <f t="shared" si="1"/>
        <v>10</v>
      </c>
      <c r="M8">
        <v>150</v>
      </c>
      <c r="N8">
        <f t="shared" si="2"/>
        <v>9000</v>
      </c>
    </row>
    <row r="9" spans="2:14" x14ac:dyDescent="0.25">
      <c r="B9" t="s">
        <v>6</v>
      </c>
      <c r="C9" t="s">
        <v>7</v>
      </c>
      <c r="D9">
        <v>288.14999999999998</v>
      </c>
      <c r="E9">
        <v>333.15</v>
      </c>
      <c r="F9">
        <v>40</v>
      </c>
      <c r="I9" t="s">
        <v>6</v>
      </c>
      <c r="J9" t="s">
        <v>7</v>
      </c>
      <c r="K9">
        <f t="shared" si="0"/>
        <v>15</v>
      </c>
      <c r="L9">
        <f t="shared" si="1"/>
        <v>60</v>
      </c>
      <c r="M9">
        <v>40</v>
      </c>
      <c r="N9">
        <f>(L9-K9)*M9</f>
        <v>1800</v>
      </c>
    </row>
    <row r="10" spans="2:14" x14ac:dyDescent="0.25">
      <c r="B10" t="s">
        <v>8</v>
      </c>
      <c r="C10" t="s">
        <v>7</v>
      </c>
      <c r="D10">
        <v>328.15</v>
      </c>
      <c r="E10">
        <v>343.15</v>
      </c>
      <c r="F10">
        <v>25</v>
      </c>
      <c r="I10" t="s">
        <v>8</v>
      </c>
      <c r="J10" t="s">
        <v>7</v>
      </c>
      <c r="K10">
        <f t="shared" si="0"/>
        <v>55</v>
      </c>
      <c r="L10">
        <f t="shared" si="1"/>
        <v>70</v>
      </c>
      <c r="M10">
        <v>25</v>
      </c>
      <c r="N10">
        <f t="shared" ref="N10:N14" si="3">(L10-K10)*M10</f>
        <v>375</v>
      </c>
    </row>
    <row r="11" spans="2:14" x14ac:dyDescent="0.25">
      <c r="B11" t="s">
        <v>9</v>
      </c>
      <c r="C11" t="s">
        <v>7</v>
      </c>
      <c r="D11">
        <v>293.14999999999998</v>
      </c>
      <c r="E11">
        <v>363.15</v>
      </c>
      <c r="F11">
        <v>85</v>
      </c>
      <c r="I11" t="s">
        <v>9</v>
      </c>
      <c r="J11" t="s">
        <v>7</v>
      </c>
      <c r="K11">
        <f t="shared" si="0"/>
        <v>20</v>
      </c>
      <c r="L11">
        <f t="shared" si="1"/>
        <v>90</v>
      </c>
      <c r="M11">
        <v>85</v>
      </c>
      <c r="N11">
        <f t="shared" si="3"/>
        <v>5950</v>
      </c>
    </row>
    <row r="12" spans="2:14" x14ac:dyDescent="0.25">
      <c r="B12" t="s">
        <v>10</v>
      </c>
      <c r="C12" t="s">
        <v>7</v>
      </c>
      <c r="D12">
        <v>453.15</v>
      </c>
      <c r="E12">
        <v>468.15</v>
      </c>
      <c r="F12">
        <v>300</v>
      </c>
      <c r="I12" t="s">
        <v>10</v>
      </c>
      <c r="J12" t="s">
        <v>7</v>
      </c>
      <c r="K12">
        <f t="shared" si="0"/>
        <v>180</v>
      </c>
      <c r="L12">
        <f t="shared" si="1"/>
        <v>195</v>
      </c>
      <c r="M12">
        <v>300</v>
      </c>
      <c r="N12">
        <f t="shared" si="3"/>
        <v>4500</v>
      </c>
    </row>
    <row r="13" spans="2:14" x14ac:dyDescent="0.25">
      <c r="B13" t="s">
        <v>11</v>
      </c>
      <c r="C13" t="s">
        <v>7</v>
      </c>
      <c r="D13">
        <v>288.14999999999998</v>
      </c>
      <c r="E13">
        <v>343.15</v>
      </c>
      <c r="F13">
        <v>15</v>
      </c>
      <c r="I13" t="s">
        <v>11</v>
      </c>
      <c r="J13" t="s">
        <v>7</v>
      </c>
      <c r="K13">
        <f t="shared" si="0"/>
        <v>15</v>
      </c>
      <c r="L13">
        <f t="shared" si="1"/>
        <v>70</v>
      </c>
      <c r="M13">
        <v>15</v>
      </c>
      <c r="N13">
        <f t="shared" si="3"/>
        <v>825</v>
      </c>
    </row>
    <row r="14" spans="2:14" x14ac:dyDescent="0.25">
      <c r="B14" t="s">
        <v>12</v>
      </c>
      <c r="C14" t="s">
        <v>7</v>
      </c>
      <c r="D14">
        <v>482.15</v>
      </c>
      <c r="E14">
        <v>483.15</v>
      </c>
      <c r="F14">
        <v>1500</v>
      </c>
      <c r="I14" t="s">
        <v>12</v>
      </c>
      <c r="J14" t="s">
        <v>7</v>
      </c>
      <c r="K14">
        <f t="shared" si="0"/>
        <v>209</v>
      </c>
      <c r="L14">
        <f t="shared" si="1"/>
        <v>210</v>
      </c>
      <c r="M14">
        <v>1500</v>
      </c>
      <c r="N14">
        <f t="shared" si="3"/>
        <v>1500</v>
      </c>
    </row>
    <row r="17" spans="3:12" x14ac:dyDescent="0.25">
      <c r="I17" t="s">
        <v>28</v>
      </c>
      <c r="J17">
        <v>5</v>
      </c>
    </row>
    <row r="22" spans="3:12" x14ac:dyDescent="0.25">
      <c r="J22" s="3"/>
    </row>
    <row r="23" spans="3:12" x14ac:dyDescent="0.25">
      <c r="F23" s="4" t="s">
        <v>29</v>
      </c>
      <c r="G23" s="4"/>
      <c r="H23" s="4"/>
      <c r="J23" s="5" t="s">
        <v>30</v>
      </c>
      <c r="K23" s="5"/>
      <c r="L23" s="5"/>
    </row>
    <row r="24" spans="3:12" x14ac:dyDescent="0.25">
      <c r="D24" t="s">
        <v>27</v>
      </c>
      <c r="F24" t="s">
        <v>33</v>
      </c>
      <c r="G24" t="s">
        <v>34</v>
      </c>
      <c r="J24" t="s">
        <v>33</v>
      </c>
      <c r="K24" t="s">
        <v>34</v>
      </c>
    </row>
    <row r="25" spans="3:12" x14ac:dyDescent="0.25">
      <c r="D25" t="s">
        <v>26</v>
      </c>
      <c r="F25" t="s">
        <v>26</v>
      </c>
      <c r="G25" t="s">
        <v>26</v>
      </c>
      <c r="J25" t="s">
        <v>26</v>
      </c>
      <c r="K25" t="s">
        <v>26</v>
      </c>
    </row>
    <row r="26" spans="3:12" x14ac:dyDescent="0.25">
      <c r="C26" t="s">
        <v>31</v>
      </c>
      <c r="D26" s="1">
        <f>SUM(N4:N8)</f>
        <v>14050</v>
      </c>
      <c r="F26" s="6">
        <v>5675</v>
      </c>
      <c r="G26" s="1">
        <v>7824.9999999600004</v>
      </c>
      <c r="H26" s="2"/>
      <c r="J26" s="6">
        <v>6300</v>
      </c>
      <c r="K26" s="1">
        <v>8025</v>
      </c>
      <c r="L26" s="2"/>
    </row>
    <row r="27" spans="3:12" x14ac:dyDescent="0.25">
      <c r="C27" t="s">
        <v>32</v>
      </c>
      <c r="D27" s="1">
        <f>SUM(N9:N14)</f>
        <v>14950</v>
      </c>
      <c r="F27" s="6">
        <v>6575</v>
      </c>
      <c r="G27" s="1">
        <v>8725</v>
      </c>
      <c r="H27" s="2"/>
      <c r="J27" s="6">
        <v>7200</v>
      </c>
      <c r="K27" s="1">
        <v>8925</v>
      </c>
      <c r="L27" s="2"/>
    </row>
  </sheetData>
  <mergeCells count="2">
    <mergeCell ref="J23:L23"/>
    <mergeCell ref="F23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Keegan</dc:creator>
  <cp:lastModifiedBy>Hall, Keegan</cp:lastModifiedBy>
  <dcterms:created xsi:type="dcterms:W3CDTF">2022-07-12T02:52:20Z</dcterms:created>
  <dcterms:modified xsi:type="dcterms:W3CDTF">2022-07-12T05:13:43Z</dcterms:modified>
</cp:coreProperties>
</file>